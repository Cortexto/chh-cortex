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erktugkubuk/Documents/HERA-cortex/cortex/raw/proposals/jhu-lsri-individual-2026/submission/"/>
    </mc:Choice>
  </mc:AlternateContent>
  <xr:revisionPtr revIDLastSave="0" documentId="13_ncr:1_{160DE4A1-90FE-FD45-9F5A-1B0CA703C43C}" xr6:coauthVersionLast="47" xr6:coauthVersionMax="47" xr10:uidLastSave="{00000000-0000-0000-0000-000000000000}"/>
  <bookViews>
    <workbookView xWindow="0" yWindow="760" windowWidth="28560" windowHeight="15440" xr2:uid="{00000000-000D-0000-FFFF-FFFF00000000}"/>
  </bookViews>
  <sheets>
    <sheet name="LSRI HIIA Budget" sheetId="1" r:id="rId1"/>
  </sheets>
  <definedNames>
    <definedName name="_xlnm.Print_Area" localSheetId="0">'LSRI HIIA Budget'!$A$1:$I$81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  <c r="H78" i="1"/>
  <c r="I65" i="1"/>
  <c r="H65" i="1"/>
  <c r="I64" i="1"/>
  <c r="H64" i="1"/>
  <c r="I63" i="1"/>
  <c r="H63" i="1"/>
  <c r="I62" i="1"/>
  <c r="I66" i="1" s="1"/>
  <c r="H62" i="1"/>
  <c r="H66" i="1" s="1"/>
  <c r="I61" i="1"/>
  <c r="H61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38" i="1"/>
  <c r="H38" i="1"/>
  <c r="E38" i="1"/>
  <c r="E37" i="1"/>
  <c r="I37" i="1" s="1"/>
  <c r="I39" i="1" s="1"/>
  <c r="I34" i="1"/>
  <c r="I33" i="1"/>
  <c r="H33" i="1"/>
  <c r="E33" i="1"/>
  <c r="I32" i="1"/>
  <c r="E32" i="1"/>
  <c r="H32" i="1" s="1"/>
  <c r="H34" i="1" s="1"/>
  <c r="I28" i="1"/>
  <c r="H28" i="1"/>
  <c r="E28" i="1"/>
  <c r="E27" i="1"/>
  <c r="I27" i="1" s="1"/>
  <c r="E26" i="1"/>
  <c r="I26" i="1" s="1"/>
  <c r="I25" i="1"/>
  <c r="E25" i="1"/>
  <c r="H25" i="1" s="1"/>
  <c r="E24" i="1"/>
  <c r="I24" i="1" s="1"/>
  <c r="I29" i="1" s="1"/>
  <c r="I20" i="1"/>
  <c r="E20" i="1"/>
  <c r="H20" i="1" s="1"/>
  <c r="E19" i="1"/>
  <c r="I19" i="1" s="1"/>
  <c r="E18" i="1"/>
  <c r="I18" i="1" s="1"/>
  <c r="E17" i="1"/>
  <c r="I17" i="1" s="1"/>
  <c r="H16" i="1"/>
  <c r="E16" i="1"/>
  <c r="I16" i="1" s="1"/>
  <c r="I21" i="1" s="1"/>
  <c r="I40" i="1" l="1"/>
  <c r="I80" i="1" s="1"/>
  <c r="H19" i="1"/>
  <c r="H24" i="1"/>
  <c r="H27" i="1"/>
  <c r="H37" i="1"/>
  <c r="H39" i="1" s="1"/>
  <c r="H17" i="1"/>
  <c r="H21" i="1" s="1"/>
  <c r="H18" i="1"/>
  <c r="H26" i="1"/>
  <c r="H29" i="1" l="1"/>
  <c r="H40" i="1" s="1"/>
  <c r="H80" i="1" s="1"/>
  <c r="H81" i="1" s="1"/>
</calcChain>
</file>

<file path=xl/sharedStrings.xml><?xml version="1.0" encoding="utf-8"?>
<sst xmlns="http://schemas.openxmlformats.org/spreadsheetml/2006/main" count="91" uniqueCount="60">
  <si>
    <t>PROPOSAL BUDGET TEMPLATE, Life Sciences Research Initiative High-Impact Individual Awards</t>
  </si>
  <si>
    <t>Budgets may range from $200,000 to $500,000. Applicants must request funds proportionate to the project’s scope, timeline, and resource needs. Description/justification for all expenses required. Funds will be available from 9/15/26-9/14/28.</t>
  </si>
  <si>
    <t>Applicant Name(s)</t>
  </si>
  <si>
    <t>Primary Contact Name, Title, Phone, and Email</t>
  </si>
  <si>
    <t>Key Personnel</t>
  </si>
  <si>
    <t>List all personnel to perform work for the project. Include proposed salaries, effort percentage, and fringe benefits. In the justification, include the role and expected contribution. Please note: NIH salary cap is not required, but can be used if PI has salary cap support. ***COLA increases are included in year 2.***</t>
  </si>
  <si>
    <t>Name</t>
  </si>
  <si>
    <t xml:space="preserve">Description of Work                                                        </t>
  </si>
  <si>
    <t>Base Salary</t>
  </si>
  <si>
    <t>Fringe</t>
  </si>
  <si>
    <t>Percent Effort Year 1</t>
  </si>
  <si>
    <t>Percent Effort Year 2</t>
  </si>
  <si>
    <t>Total Amount Requested Year 1</t>
  </si>
  <si>
    <t>Total Amount Requested Year 2</t>
  </si>
  <si>
    <t>Shatha Elnakib</t>
  </si>
  <si>
    <t>Lead PI: study design, ethics, validation framework, Türkiye field supervision, publication lead</t>
  </si>
  <si>
    <t>Total Key Personnel</t>
  </si>
  <si>
    <t xml:space="preserve">Non-Key Personnel Faculty/Staff                                                                                                                                                     </t>
  </si>
  <si>
    <t>Name/Position Title</t>
  </si>
  <si>
    <t>Total Non-Key Faculty/Staff</t>
  </si>
  <si>
    <t xml:space="preserve">Postdoc (Salary)                                                                                                                              </t>
  </si>
  <si>
    <t>CHH Research Analyst</t>
  </si>
  <si>
    <t>NLP, statistics, annotation oversight, data governance under PI</t>
  </si>
  <si>
    <t>Total Postdoc (Salary)</t>
  </si>
  <si>
    <t xml:space="preserve">Postdoc (Stipend)                                                                                                                              </t>
  </si>
  <si>
    <t>Aral Surmeli</t>
  </si>
  <si>
    <t>DrPH trainee: data-provenance mapping, audit documentation, dissertation fieldwork (trainee beneficiary, not co-PI)</t>
  </si>
  <si>
    <t>Total Postdoc (Stipend)</t>
  </si>
  <si>
    <t>Total Personnel (including fringe)</t>
  </si>
  <si>
    <t xml:space="preserve">Materials/Supplies                                                                                                                                    </t>
  </si>
  <si>
    <t>Include list of all allowable expenses. The justification should describe the rationale, necessity and reasonableness of the costs budgeted.</t>
  </si>
  <si>
    <t>Item</t>
  </si>
  <si>
    <t xml:space="preserve">Description of Item </t>
  </si>
  <si>
    <t>Cost per Item</t>
  </si>
  <si>
    <t>Quantity Year 1</t>
  </si>
  <si>
    <t>Quantity Year 2</t>
  </si>
  <si>
    <t>JHU secure compute / cloud GPU credits</t>
  </si>
  <si>
    <t>Annotation platform and NLP software licenses</t>
  </si>
  <si>
    <t>App/server staging, API monitoring, encrypted backup</t>
  </si>
  <si>
    <t>Participant incentives (cognitive, FGD, IDI)</t>
  </si>
  <si>
    <t>Recording, transcription, Arabic/Turkish translation</t>
  </si>
  <si>
    <t>Publication and open-science fees</t>
  </si>
  <si>
    <t>Total Supplies &amp; Operating Expenses</t>
  </si>
  <si>
    <t xml:space="preserve">Travel                                                                                                                                  </t>
  </si>
  <si>
    <t>Include all travel, including costs for attendance of any meetings.</t>
  </si>
  <si>
    <t>Cost Per Trip</t>
  </si>
  <si>
    <t>Description of Trip</t>
  </si>
  <si>
    <t>Baltimore-Istanbul field validation (2 travelers: PI + trainee)</t>
  </si>
  <si>
    <t>Domestic CHH/JHU coordination and IRB meetings</t>
  </si>
  <si>
    <t>Conference dissemination (international, 2 travelers)</t>
  </si>
  <si>
    <t>Total Travel</t>
  </si>
  <si>
    <t>Subcontracts</t>
  </si>
  <si>
    <t>Include all subcontracts planned to complete the proposed work. This includes consulting and subawards. No (sub)contractor may be paid greater than 10% of the total award amount. Describe how the subcontractor will be essential to the work proposed. Please note, indirect costs are not allowable on subaward expenses.</t>
  </si>
  <si>
    <t>Subcontractor Name</t>
  </si>
  <si>
    <t>Justification</t>
  </si>
  <si>
    <t>HERA Digital Health</t>
  </si>
  <si>
    <t>De-identified data export, platform pseudonymization support, bounded API/integration for research layer (≤10% cap; no field ops)</t>
  </si>
  <si>
    <t>Total Contractual</t>
  </si>
  <si>
    <t>Yearly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</si>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</sst>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u/>
      <sz val="10"/>
      <color theme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2">
    <xf numFmtId="0" fontId="0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3" fontId="5" fillId="0" borderId="0"/>
    <xf numFmtId="44" fontId="2" fillId="0" borderId="0"/>
    <xf numFmtId="9" fontId="2" fillId="0" borderId="0"/>
    <xf numFmtId="0" fontId="6" fillId="0" borderId="0">
      <alignment vertical="top"/>
      <protection locked="0"/>
    </xf>
    <xf numFmtId="0" fontId="2" fillId="0" borderId="0"/>
    <xf numFmtId="0" fontId="2" fillId="0" borderId="0"/>
    <xf numFmtId="9" fontId="12" fillId="0" borderId="0"/>
  </cellStyleXfs>
  <cellXfs count="53">
    <xf numFmtId="0" fontId="0" fillId="0" borderId="0" xfId="0"/>
    <xf numFmtId="49" fontId="0" fillId="0" borderId="0" xfId="0" applyNumberFormat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8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8" fontId="3" fillId="5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 applyProtection="1">
      <alignment vertical="center" wrapText="1"/>
      <protection locked="0"/>
    </xf>
    <xf numFmtId="0" fontId="0" fillId="0" borderId="2" xfId="0" applyBorder="1" applyAlignment="1">
      <alignment vertical="center"/>
    </xf>
    <xf numFmtId="0" fontId="0" fillId="0" borderId="1" xfId="0" applyBorder="1" applyAlignment="1" applyProtection="1">
      <alignment horizontal="left" vertical="center" wrapText="1"/>
      <protection locked="0"/>
    </xf>
    <xf numFmtId="9" fontId="0" fillId="0" borderId="1" xfId="0" applyNumberFormat="1" applyBorder="1" applyAlignment="1" applyProtection="1">
      <alignment vertical="center"/>
      <protection locked="0"/>
    </xf>
    <xf numFmtId="8" fontId="0" fillId="0" borderId="1" xfId="0" applyNumberFormat="1" applyBorder="1" applyAlignment="1">
      <alignment vertical="center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 applyProtection="1">
      <alignment horizontal="right" vertical="center" wrapText="1"/>
      <protection locked="0"/>
    </xf>
    <xf numFmtId="0" fontId="0" fillId="0" borderId="1" xfId="0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9" fontId="0" fillId="0" borderId="1" xfId="11" applyFont="1" applyBorder="1" applyAlignment="1" applyProtection="1">
      <alignment horizontal="right" vertical="center"/>
      <protection locked="0"/>
    </xf>
    <xf numFmtId="8" fontId="0" fillId="5" borderId="1" xfId="0" applyNumberFormat="1" applyFill="1" applyBorder="1" applyAlignment="1">
      <alignment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0" fillId="0" borderId="4" xfId="0" applyBorder="1" applyProtection="1">
      <protection locked="0"/>
    </xf>
    <xf numFmtId="0" fontId="10" fillId="5" borderId="1" xfId="0" applyFont="1" applyFill="1" applyBorder="1" applyAlignment="1">
      <alignment horizontal="right" vertical="center" wrapText="1"/>
    </xf>
    <xf numFmtId="0" fontId="0" fillId="0" borderId="5" xfId="0" applyBorder="1"/>
    <xf numFmtId="0" fontId="0" fillId="0" borderId="4" xfId="0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0" borderId="10" xfId="0" applyBorder="1"/>
    <xf numFmtId="0" fontId="0" fillId="0" borderId="8" xfId="0" applyBorder="1"/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9" fillId="3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8" fontId="1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2">
    <cellStyle name="Comma0" xfId="5" xr:uid="{00000000-0005-0000-0000-000005000000}"/>
    <cellStyle name="Currency 2" xfId="6" xr:uid="{00000000-0005-0000-0000-000006000000}"/>
    <cellStyle name="Hyperlink 2" xfId="8" xr:uid="{00000000-0005-0000-0000-000008000000}"/>
    <cellStyle name="Normal" xfId="0" builtinId="0"/>
    <cellStyle name="Normal 2" xfId="1" xr:uid="{00000000-0005-0000-0000-000001000000}"/>
    <cellStyle name="Normal 2 2" xfId="3" xr:uid="{00000000-0005-0000-0000-000003000000}"/>
    <cellStyle name="Normal 3" xfId="2" xr:uid="{00000000-0005-0000-0000-000002000000}"/>
    <cellStyle name="Normal 3 2" xfId="10" xr:uid="{00000000-0005-0000-0000-00000A000000}"/>
    <cellStyle name="Normal 3 3" xfId="4" xr:uid="{00000000-0005-0000-0000-000004000000}"/>
    <cellStyle name="Normal 4" xfId="9" xr:uid="{00000000-0005-0000-0000-000009000000}"/>
    <cellStyle name="Percent" xfId="11" builtinId="5"/>
    <cellStyle name="Percent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663479</xdr:colOff>
      <xdr:row>0</xdr:row>
      <xdr:rowOff>165229</xdr:rowOff>
    </xdr:from>
    <xdr:to>
      <xdr:col>2</xdr:col>
      <xdr:colOff>2666502</xdr:colOff>
      <xdr:row>2</xdr:row>
      <xdr:rowOff>76329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45701" y="165229"/>
          <a:ext cx="4209488" cy="87322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8">
      <a:dk1>
        <a:srgbClr val="212121"/>
      </a:dk1>
      <a:lt1>
        <a:srgbClr val="FFFFFF"/>
      </a:lt1>
      <a:dk2>
        <a:srgbClr val="FFFFFF"/>
      </a:dk2>
      <a:lt2>
        <a:srgbClr val="B3D5E8"/>
      </a:lt2>
      <a:accent1>
        <a:srgbClr val="B3D5E8"/>
      </a:accent1>
      <a:accent2>
        <a:srgbClr val="761900"/>
      </a:accent2>
      <a:accent3>
        <a:srgbClr val="FFFFFF"/>
      </a:accent3>
      <a:accent4>
        <a:srgbClr val="010A21"/>
      </a:accent4>
      <a:accent5>
        <a:srgbClr val="FF0000"/>
      </a:accent5>
      <a:accent6>
        <a:srgbClr val="041952"/>
      </a:accent6>
      <a:hlink>
        <a:srgbClr val="002060"/>
      </a:hlink>
      <a:folHlink>
        <a:srgbClr val="FF000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33"/>
  <sheetViews>
    <sheetView tabSelected="1" zoomScale="99" zoomScaleNormal="100" zoomScaleSheetLayoutView="110" zoomScalePageLayoutView="57" workbookViewId="0">
      <selection activeCell="E11" sqref="E11"/>
    </sheetView>
  </sheetViews>
  <sheetFormatPr baseColWidth="10" defaultColWidth="8.83203125" defaultRowHeight="15" x14ac:dyDescent="0.2"/>
  <cols>
    <col min="1" max="1" width="3.6640625" style="12" customWidth="1"/>
    <col min="2" max="2" width="29" style="12" customWidth="1"/>
    <col min="3" max="3" width="42" style="12" customWidth="1"/>
    <col min="4" max="5" width="16.1640625" style="12" customWidth="1"/>
    <col min="6" max="7" width="12.33203125" style="12" customWidth="1"/>
    <col min="8" max="9" width="22.33203125" style="12" customWidth="1"/>
    <col min="10" max="10" width="8.83203125" style="12" customWidth="1"/>
    <col min="11" max="16384" width="8.83203125" style="12"/>
  </cols>
  <sheetData>
    <row r="1" spans="1:9" ht="60" customHeight="1" x14ac:dyDescent="0.2">
      <c r="B1" s="48"/>
      <c r="C1" s="43"/>
    </row>
    <row r="2" spans="1:9" ht="16.5" customHeight="1" x14ac:dyDescent="0.2">
      <c r="B2" s="43"/>
      <c r="C2" s="43"/>
    </row>
    <row r="3" spans="1:9" ht="16.5" customHeight="1" x14ac:dyDescent="0.2">
      <c r="B3" s="43"/>
      <c r="C3" s="43"/>
    </row>
    <row r="4" spans="1:9" ht="29.25" customHeight="1" x14ac:dyDescent="0.2"/>
    <row r="5" spans="1:9" ht="38.5" customHeight="1" x14ac:dyDescent="0.2">
      <c r="B5" s="52" t="s">
        <v>0</v>
      </c>
      <c r="C5" s="43"/>
      <c r="D5" s="43"/>
      <c r="E5" s="43"/>
      <c r="F5" s="43"/>
      <c r="G5" s="43"/>
      <c r="H5" s="43"/>
      <c r="I5" s="43"/>
    </row>
    <row r="6" spans="1:9" ht="22" customHeight="1" x14ac:dyDescent="0.2">
      <c r="B6" s="42" t="s">
        <v>1</v>
      </c>
      <c r="C6" s="43"/>
      <c r="D6" s="43"/>
      <c r="E6" s="43"/>
      <c r="F6" s="43"/>
      <c r="G6" s="43"/>
      <c r="H6" s="43"/>
      <c r="I6" s="43"/>
    </row>
    <row r="7" spans="1:9" ht="19" customHeight="1" x14ac:dyDescent="0.2">
      <c r="B7" s="43"/>
      <c r="C7" s="43"/>
      <c r="D7" s="43"/>
      <c r="E7" s="43"/>
      <c r="F7" s="43"/>
      <c r="G7" s="43"/>
      <c r="H7" s="43"/>
      <c r="I7" s="43"/>
    </row>
    <row r="8" spans="1:9" ht="16.5" customHeight="1" x14ac:dyDescent="0.2"/>
    <row r="9" spans="1:9" ht="27.25" customHeight="1" x14ac:dyDescent="0.2">
      <c r="B9" s="45" t="s">
        <v>2</v>
      </c>
      <c r="C9" s="45"/>
      <c r="D9" s="1"/>
      <c r="F9" s="34" t="s">
        <v>3</v>
      </c>
      <c r="G9" s="34"/>
      <c r="H9" s="35"/>
      <c r="I9" s="36"/>
    </row>
    <row r="10" spans="1:9" ht="27.25" customHeight="1" x14ac:dyDescent="0.2">
      <c r="B10" s="46"/>
      <c r="C10" s="46"/>
      <c r="D10" s="1"/>
      <c r="F10" s="46"/>
      <c r="G10" s="37"/>
      <c r="H10" s="38"/>
      <c r="I10" s="39"/>
    </row>
    <row r="11" spans="1:9" ht="16" customHeight="1" thickBot="1" x14ac:dyDescent="0.25">
      <c r="B11" s="14"/>
      <c r="C11" s="14"/>
      <c r="D11" s="14"/>
      <c r="E11" s="14"/>
      <c r="F11" s="14"/>
      <c r="G11" s="14"/>
      <c r="H11" s="14"/>
      <c r="I11" s="14"/>
    </row>
    <row r="13" spans="1:9" ht="26" customHeight="1" x14ac:dyDescent="0.2">
      <c r="B13" s="41" t="s">
        <v>4</v>
      </c>
      <c r="C13" s="32"/>
      <c r="D13" s="32"/>
      <c r="E13" s="32"/>
      <c r="F13" s="32"/>
      <c r="G13" s="32"/>
      <c r="H13" s="32"/>
      <c r="I13" s="33"/>
    </row>
    <row r="14" spans="1:9" ht="44" customHeight="1" x14ac:dyDescent="0.2">
      <c r="B14" s="40" t="s">
        <v>5</v>
      </c>
      <c r="C14" s="32"/>
      <c r="D14" s="32"/>
      <c r="E14" s="32"/>
      <c r="F14" s="32"/>
      <c r="G14" s="32"/>
      <c r="H14" s="32"/>
      <c r="I14" s="33"/>
    </row>
    <row r="15" spans="1:9" ht="30" customHeight="1" x14ac:dyDescent="0.2">
      <c r="B15" s="4" t="s">
        <v>6</v>
      </c>
      <c r="C15" s="25" t="s">
        <v>7</v>
      </c>
      <c r="D15" s="5" t="s">
        <v>8</v>
      </c>
      <c r="E15" s="7" t="s">
        <v>9</v>
      </c>
      <c r="F15" s="5" t="s">
        <v>10</v>
      </c>
      <c r="G15" s="5" t="s">
        <v>11</v>
      </c>
      <c r="H15" s="5" t="s">
        <v>12</v>
      </c>
      <c r="I15" s="5" t="s">
        <v>13</v>
      </c>
    </row>
    <row r="16" spans="1:9" ht="48" x14ac:dyDescent="0.2">
      <c r="A16" t="s">
        <v>14</v>
      </c>
      <c r="B16" s="15" t="s">
        <v>15</v>
      </c>
      <c r="C16" s="15"/>
      <c r="D16" s="3">
        <v>150000</v>
      </c>
      <c r="E16" s="3">
        <f>D16*31.5%</f>
        <v>47250</v>
      </c>
      <c r="F16" s="16">
        <v>0.2</v>
      </c>
      <c r="G16" s="16">
        <v>0.2</v>
      </c>
      <c r="H16" s="17">
        <f>IF(F16=1,SUM(D16:E16),SUM((D16+E16)*(F16)))</f>
        <v>39450</v>
      </c>
      <c r="I16" s="17">
        <f>IF(G16=1,SUM(D16:E16),SUM((D16+E16)*(G16)))*1.03</f>
        <v>40633.5</v>
      </c>
    </row>
    <row r="17" spans="1:9" x14ac:dyDescent="0.2">
      <c r="B17" s="15"/>
      <c r="C17" s="24"/>
      <c r="D17" s="3"/>
      <c r="E17" s="3">
        <f>D17*31.5%</f>
        <v>0</v>
      </c>
      <c r="F17" s="16"/>
      <c r="G17" s="16"/>
      <c r="H17" s="17">
        <f>IF(F17=1,SUM(D17:E17),SUM((D17+E17)*(F17)))</f>
        <v>0</v>
      </c>
      <c r="I17" s="17">
        <f>IF(G17=1,SUM(D17:E17),SUM((D17+E17)*(G17)))*1.03</f>
        <v>0</v>
      </c>
    </row>
    <row r="18" spans="1:9" x14ac:dyDescent="0.2">
      <c r="B18" s="15"/>
      <c r="C18" s="15"/>
      <c r="D18" s="3"/>
      <c r="E18" s="3">
        <f>D18*31.5%</f>
        <v>0</v>
      </c>
      <c r="F18" s="16"/>
      <c r="G18" s="16"/>
      <c r="H18" s="17">
        <f>IF(F18=1,SUM(D18:E18),SUM((D18+E18)*(F18)))</f>
        <v>0</v>
      </c>
      <c r="I18" s="17">
        <f>IF(G18=1,SUM(D18:E18),SUM((D18+E18)*(G18)))*1.03</f>
        <v>0</v>
      </c>
    </row>
    <row r="19" spans="1:9" x14ac:dyDescent="0.2">
      <c r="B19" s="15"/>
      <c r="C19" s="15"/>
      <c r="D19" s="3"/>
      <c r="E19" s="3">
        <f>D19*31.5%</f>
        <v>0</v>
      </c>
      <c r="F19" s="16"/>
      <c r="G19" s="16"/>
      <c r="H19" s="17">
        <f>IF(F19=1,SUM(D19:E19),SUM((D19+E19)*(F19)))</f>
        <v>0</v>
      </c>
      <c r="I19" s="17">
        <f>IF(G19=1,SUM(D19:E19),SUM((D19+E19)*(G19)))*1.03</f>
        <v>0</v>
      </c>
    </row>
    <row r="20" spans="1:9" x14ac:dyDescent="0.2">
      <c r="B20" s="15"/>
      <c r="C20" s="15"/>
      <c r="D20" s="3"/>
      <c r="E20" s="3">
        <f>D20*31.5%</f>
        <v>0</v>
      </c>
      <c r="F20" s="16"/>
      <c r="G20" s="16"/>
      <c r="H20" s="17">
        <f>IF(F20=1,SUM(D20:E20),SUM((D20+E20)*(F20)))</f>
        <v>0</v>
      </c>
      <c r="I20" s="17">
        <f>IF(G20=1,SUM(D20:E20),SUM((D20+E20)*(G20)))*1.03</f>
        <v>0</v>
      </c>
    </row>
    <row r="21" spans="1:9" ht="31.5" customHeight="1" x14ac:dyDescent="0.2">
      <c r="B21" s="31" t="s">
        <v>16</v>
      </c>
      <c r="C21" s="32"/>
      <c r="D21" s="32"/>
      <c r="E21" s="32"/>
      <c r="F21" s="32"/>
      <c r="G21" s="33"/>
      <c r="H21" s="11">
        <f>SUM(H16:H20)</f>
        <v>39450</v>
      </c>
      <c r="I21" s="11">
        <f>SUM(I16:I20)</f>
        <v>40633.5</v>
      </c>
    </row>
    <row r="22" spans="1:9" ht="34.5" customHeight="1" x14ac:dyDescent="0.2">
      <c r="B22" s="41" t="s">
        <v>17</v>
      </c>
      <c r="C22" s="32"/>
      <c r="D22" s="32"/>
      <c r="E22" s="32"/>
      <c r="F22" s="32"/>
      <c r="G22" s="32"/>
      <c r="H22" s="32"/>
      <c r="I22" s="33"/>
    </row>
    <row r="23" spans="1:9" ht="27" customHeight="1" x14ac:dyDescent="0.2">
      <c r="B23" s="4" t="s">
        <v>18</v>
      </c>
      <c r="C23" s="2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  <c r="I23" s="5" t="s">
        <v>13</v>
      </c>
    </row>
    <row r="24" spans="1:9" x14ac:dyDescent="0.2">
      <c r="B24" s="15"/>
      <c r="C24" s="15"/>
      <c r="D24" s="2"/>
      <c r="E24" s="3">
        <f>D24*31.5%</f>
        <v>0</v>
      </c>
      <c r="F24" s="26"/>
      <c r="G24" s="26"/>
      <c r="H24" s="17">
        <f>IF(F24=1,SUM(D24:E24),SUM((D24+E24)*(F24)))</f>
        <v>0</v>
      </c>
      <c r="I24" s="17">
        <f>IF(G24=1,SUM(D24:E24),SUM((D24+E24)*(G24)))*1.03</f>
        <v>0</v>
      </c>
    </row>
    <row r="25" spans="1:9" x14ac:dyDescent="0.2">
      <c r="B25" s="15"/>
      <c r="C25" s="15"/>
      <c r="D25" s="2"/>
      <c r="E25" s="3">
        <f>D25*31.5%</f>
        <v>0</v>
      </c>
      <c r="F25" s="26"/>
      <c r="G25" s="26"/>
      <c r="H25" s="17">
        <f>IF(F25=1,SUM(D25:E25),SUM((D25+E25)*(F25)))</f>
        <v>0</v>
      </c>
      <c r="I25" s="17">
        <f>IF(G25=1,SUM(D25:E25),SUM((D25+E25)*(G25)))*1.03</f>
        <v>0</v>
      </c>
    </row>
    <row r="26" spans="1:9" x14ac:dyDescent="0.2">
      <c r="B26" s="15"/>
      <c r="C26" s="15"/>
      <c r="D26" s="2"/>
      <c r="E26" s="3">
        <f>D26*31.5%</f>
        <v>0</v>
      </c>
      <c r="F26" s="26"/>
      <c r="G26" s="26"/>
      <c r="H26" s="17">
        <f>IF(F26=1,SUM(D26:E26),SUM((D26+E26)*(F26)))</f>
        <v>0</v>
      </c>
      <c r="I26" s="17">
        <f>IF(G26=1,SUM(D26:E26),SUM((D26+E26)*(G26)))*1.03</f>
        <v>0</v>
      </c>
    </row>
    <row r="27" spans="1:9" x14ac:dyDescent="0.2">
      <c r="B27" s="15"/>
      <c r="C27" s="15"/>
      <c r="D27" s="2"/>
      <c r="E27" s="3">
        <f>D27*31.5%</f>
        <v>0</v>
      </c>
      <c r="F27" s="26"/>
      <c r="G27" s="26"/>
      <c r="H27" s="17">
        <f>IF(F27=1,SUM(D27:E27),SUM((D27+E27)*(F27)))</f>
        <v>0</v>
      </c>
      <c r="I27" s="17">
        <f>IF(G27=1,SUM(D27:E27),SUM((D27+E27)*(G27)))*1.03</f>
        <v>0</v>
      </c>
    </row>
    <row r="28" spans="1:9" x14ac:dyDescent="0.2">
      <c r="B28" s="15"/>
      <c r="C28" s="15"/>
      <c r="D28" s="2"/>
      <c r="E28" s="3">
        <f>D28*31.5%</f>
        <v>0</v>
      </c>
      <c r="F28" s="26"/>
      <c r="G28" s="26"/>
      <c r="H28" s="17">
        <f>IF(F28=1,SUM(D28:E28),SUM((D28+E28)*(F28)))</f>
        <v>0</v>
      </c>
      <c r="I28" s="17">
        <f>IF(G28=1,SUM(D28:E28),SUM((D28+E28)*(G28)))*1.03</f>
        <v>0</v>
      </c>
    </row>
    <row r="29" spans="1:9" ht="31.5" customHeight="1" x14ac:dyDescent="0.2">
      <c r="B29" s="31" t="s">
        <v>19</v>
      </c>
      <c r="C29" s="32"/>
      <c r="D29" s="32"/>
      <c r="E29" s="32"/>
      <c r="F29" s="32"/>
      <c r="G29" s="33"/>
      <c r="H29" s="11">
        <f>SUM(H24:H28)</f>
        <v>0</v>
      </c>
      <c r="I29" s="11">
        <f>SUM(I24:I28)</f>
        <v>0</v>
      </c>
    </row>
    <row r="30" spans="1:9" ht="34.5" customHeight="1" x14ac:dyDescent="0.2">
      <c r="B30" s="41" t="s">
        <v>20</v>
      </c>
      <c r="C30" s="32"/>
      <c r="D30" s="32"/>
      <c r="E30" s="32"/>
      <c r="F30" s="32"/>
      <c r="G30" s="32"/>
      <c r="H30" s="32"/>
      <c r="I30" s="33"/>
    </row>
    <row r="31" spans="1:9" ht="27" customHeight="1" x14ac:dyDescent="0.2">
      <c r="B31" s="4" t="s">
        <v>18</v>
      </c>
      <c r="C31" s="2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  <c r="I31" s="5" t="s">
        <v>13</v>
      </c>
    </row>
    <row r="32" spans="1:9" ht="32" x14ac:dyDescent="0.2">
      <c r="A32" t="s">
        <v>21</v>
      </c>
      <c r="B32" s="15" t="s">
        <v>22</v>
      </c>
      <c r="C32" s="15"/>
      <c r="D32" s="2">
        <v>85000</v>
      </c>
      <c r="E32" s="3">
        <f>D32*21.1%</f>
        <v>17935</v>
      </c>
      <c r="F32" s="26">
        <v>0.25</v>
      </c>
      <c r="G32" s="26">
        <v>0.25</v>
      </c>
      <c r="H32" s="17">
        <f>IF(F32=0,SUM(D32:E32),SUM((D32+E32)*(F32)))</f>
        <v>25733.75</v>
      </c>
      <c r="I32" s="17">
        <f>IF(G32=1,SUM(D32:E32),SUM((D32+E32)*(G32)))*1.03</f>
        <v>26505.762500000001</v>
      </c>
    </row>
    <row r="33" spans="1:9" x14ac:dyDescent="0.2">
      <c r="B33" s="15"/>
      <c r="C33" s="15"/>
      <c r="D33" s="2"/>
      <c r="E33" s="3">
        <f>D33*21.1%</f>
        <v>0</v>
      </c>
      <c r="F33" s="26"/>
      <c r="G33" s="26"/>
      <c r="H33" s="17">
        <f>IF(F33=0,SUM(D33:E33),SUM((D33+E33)*(F33)))</f>
        <v>0</v>
      </c>
      <c r="I33" s="17">
        <f>IF(G33=1,SUM(D33:E33),SUM((D33+E33)*(G33)))*1.03</f>
        <v>0</v>
      </c>
    </row>
    <row r="34" spans="1:9" ht="31.5" customHeight="1" x14ac:dyDescent="0.2">
      <c r="B34" s="31" t="s">
        <v>23</v>
      </c>
      <c r="C34" s="32"/>
      <c r="D34" s="32"/>
      <c r="E34" s="32"/>
      <c r="F34" s="32"/>
      <c r="G34" s="33"/>
      <c r="H34" s="11">
        <f>SUM(H32:H33)</f>
        <v>25733.75</v>
      </c>
      <c r="I34" s="11">
        <f>SUM(I32:I33)</f>
        <v>26505.762500000001</v>
      </c>
    </row>
    <row r="35" spans="1:9" ht="34.5" customHeight="1" x14ac:dyDescent="0.2">
      <c r="B35" s="41" t="s">
        <v>24</v>
      </c>
      <c r="C35" s="32"/>
      <c r="D35" s="32"/>
      <c r="E35" s="32"/>
      <c r="F35" s="32"/>
      <c r="G35" s="32"/>
      <c r="H35" s="32"/>
      <c r="I35" s="33"/>
    </row>
    <row r="36" spans="1:9" ht="27" customHeight="1" x14ac:dyDescent="0.2">
      <c r="B36" s="4" t="s">
        <v>18</v>
      </c>
      <c r="C36" s="25" t="s">
        <v>7</v>
      </c>
      <c r="D36" s="5" t="s">
        <v>8</v>
      </c>
      <c r="E36" s="5" t="s">
        <v>9</v>
      </c>
      <c r="F36" s="5" t="s">
        <v>10</v>
      </c>
      <c r="G36" s="5" t="s">
        <v>11</v>
      </c>
      <c r="H36" s="5" t="s">
        <v>12</v>
      </c>
      <c r="I36" s="5" t="s">
        <v>13</v>
      </c>
    </row>
    <row r="37" spans="1:9" ht="64" x14ac:dyDescent="0.2">
      <c r="A37" t="s">
        <v>25</v>
      </c>
      <c r="B37" s="15" t="s">
        <v>26</v>
      </c>
      <c r="C37" s="15"/>
      <c r="D37" s="2">
        <v>32000</v>
      </c>
      <c r="E37" s="3">
        <f>D37*13.1%</f>
        <v>4192</v>
      </c>
      <c r="F37" s="26">
        <v>1</v>
      </c>
      <c r="G37" s="26">
        <v>1</v>
      </c>
      <c r="H37" s="17">
        <f>IF(F37=1,SUM(D37:E37),SUM((D37+E37)*(F37)))</f>
        <v>36192</v>
      </c>
      <c r="I37" s="17">
        <f>IF(G37=1,SUM(D37:E37),SUM((D37+E37)*(G37)))*1.03</f>
        <v>37277.760000000002</v>
      </c>
    </row>
    <row r="38" spans="1:9" x14ac:dyDescent="0.2">
      <c r="B38" s="15"/>
      <c r="C38" s="15"/>
      <c r="D38" s="2"/>
      <c r="E38" s="3">
        <f>D38*13.1%</f>
        <v>0</v>
      </c>
      <c r="F38" s="26"/>
      <c r="G38" s="26"/>
      <c r="H38" s="17">
        <f>IF(F38=1,SUM(D38:E38),SUM((D38+E38)*(F38)))</f>
        <v>0</v>
      </c>
      <c r="I38" s="17">
        <f>IF(G38=1,SUM(D38:E38),SUM((D38+E38)*(G38)))*1.03</f>
        <v>0</v>
      </c>
    </row>
    <row r="39" spans="1:9" ht="31.5" customHeight="1" x14ac:dyDescent="0.2">
      <c r="B39" s="31" t="s">
        <v>27</v>
      </c>
      <c r="C39" s="32"/>
      <c r="D39" s="32"/>
      <c r="E39" s="32"/>
      <c r="F39" s="32"/>
      <c r="G39" s="33"/>
      <c r="H39" s="11">
        <f>SUM(H37:H38)</f>
        <v>36192</v>
      </c>
      <c r="I39" s="11">
        <f>SUM(I37:I38)</f>
        <v>37277.760000000002</v>
      </c>
    </row>
    <row r="40" spans="1:9" ht="31.5" customHeight="1" x14ac:dyDescent="0.2">
      <c r="B40" s="31" t="s">
        <v>28</v>
      </c>
      <c r="C40" s="32"/>
      <c r="D40" s="32"/>
      <c r="E40" s="32"/>
      <c r="F40" s="32"/>
      <c r="G40" s="33"/>
      <c r="H40" s="11">
        <f>H21+H29+H34+H39</f>
        <v>101375.75</v>
      </c>
      <c r="I40" s="11">
        <f>I21+I29+I34+I39</f>
        <v>104417.02249999999</v>
      </c>
    </row>
    <row r="44" spans="1:9" ht="28.75" customHeight="1" x14ac:dyDescent="0.2">
      <c r="B44" s="41" t="s">
        <v>29</v>
      </c>
      <c r="C44" s="32"/>
      <c r="D44" s="32"/>
      <c r="E44" s="32"/>
      <c r="F44" s="32"/>
      <c r="G44" s="32"/>
      <c r="H44" s="32"/>
      <c r="I44" s="33"/>
    </row>
    <row r="45" spans="1:9" ht="40" customHeight="1" x14ac:dyDescent="0.2">
      <c r="B45" s="40" t="s">
        <v>30</v>
      </c>
      <c r="C45" s="32"/>
      <c r="D45" s="32"/>
      <c r="E45" s="32"/>
      <c r="F45" s="32"/>
      <c r="G45" s="32"/>
      <c r="H45" s="32"/>
      <c r="I45" s="33"/>
    </row>
    <row r="46" spans="1:9" ht="46" customHeight="1" x14ac:dyDescent="0.2">
      <c r="B46" s="8" t="s">
        <v>31</v>
      </c>
      <c r="C46" s="49" t="s">
        <v>32</v>
      </c>
      <c r="D46" s="30"/>
      <c r="E46" s="5" t="s">
        <v>33</v>
      </c>
      <c r="F46" s="5" t="s">
        <v>34</v>
      </c>
      <c r="G46" s="5" t="s">
        <v>35</v>
      </c>
      <c r="H46" s="6" t="s">
        <v>12</v>
      </c>
      <c r="I46" s="6" t="s">
        <v>13</v>
      </c>
    </row>
    <row r="47" spans="1:9" ht="32" x14ac:dyDescent="0.2">
      <c r="B47" s="15" t="s">
        <v>36</v>
      </c>
      <c r="C47" s="28"/>
      <c r="D47" s="30"/>
      <c r="E47" s="20">
        <v>5500</v>
      </c>
      <c r="F47" s="21">
        <v>1</v>
      </c>
      <c r="G47" s="21">
        <v>1</v>
      </c>
      <c r="H47" s="17">
        <f t="shared" ref="H47:H53" si="0">E47*F47</f>
        <v>5500</v>
      </c>
      <c r="I47" s="17">
        <f t="shared" ref="I47:I53" si="1">E47*G47</f>
        <v>5500</v>
      </c>
    </row>
    <row r="48" spans="1:9" ht="32" x14ac:dyDescent="0.2">
      <c r="B48" s="13" t="s">
        <v>37</v>
      </c>
      <c r="C48" s="28"/>
      <c r="D48" s="30"/>
      <c r="E48" s="20">
        <v>2750</v>
      </c>
      <c r="F48" s="21">
        <v>1</v>
      </c>
      <c r="G48" s="21">
        <v>1</v>
      </c>
      <c r="H48" s="17">
        <f t="shared" si="0"/>
        <v>2750</v>
      </c>
      <c r="I48" s="17">
        <f t="shared" si="1"/>
        <v>2750</v>
      </c>
    </row>
    <row r="49" spans="2:9" ht="32" x14ac:dyDescent="0.2">
      <c r="B49" s="13" t="s">
        <v>38</v>
      </c>
      <c r="C49" s="28"/>
      <c r="D49" s="30"/>
      <c r="E49" s="20">
        <v>3500</v>
      </c>
      <c r="F49" s="21">
        <v>1</v>
      </c>
      <c r="G49" s="21">
        <v>1</v>
      </c>
      <c r="H49" s="17">
        <f t="shared" si="0"/>
        <v>3500</v>
      </c>
      <c r="I49" s="17">
        <f t="shared" si="1"/>
        <v>3500</v>
      </c>
    </row>
    <row r="50" spans="2:9" ht="32" x14ac:dyDescent="0.2">
      <c r="B50" s="18" t="s">
        <v>39</v>
      </c>
      <c r="C50" s="28"/>
      <c r="D50" s="30"/>
      <c r="E50" s="20">
        <v>2000</v>
      </c>
      <c r="F50" s="21">
        <v>2</v>
      </c>
      <c r="G50" s="21">
        <v>1</v>
      </c>
      <c r="H50" s="17">
        <f t="shared" si="0"/>
        <v>4000</v>
      </c>
      <c r="I50" s="17">
        <f t="shared" si="1"/>
        <v>2000</v>
      </c>
    </row>
    <row r="51" spans="2:9" ht="32" x14ac:dyDescent="0.2">
      <c r="B51" s="15" t="s">
        <v>40</v>
      </c>
      <c r="C51" s="28"/>
      <c r="D51" s="30"/>
      <c r="E51" s="20">
        <v>2500</v>
      </c>
      <c r="F51" s="21">
        <v>1</v>
      </c>
      <c r="G51" s="21">
        <v>1</v>
      </c>
      <c r="H51" s="17">
        <f t="shared" si="0"/>
        <v>2500</v>
      </c>
      <c r="I51" s="17">
        <f t="shared" si="1"/>
        <v>2500</v>
      </c>
    </row>
    <row r="52" spans="2:9" ht="16" x14ac:dyDescent="0.2">
      <c r="B52" s="15" t="s">
        <v>41</v>
      </c>
      <c r="C52" s="28"/>
      <c r="D52" s="30"/>
      <c r="E52" s="20">
        <v>1353</v>
      </c>
      <c r="F52" s="21">
        <v>1</v>
      </c>
      <c r="G52" s="21">
        <v>1</v>
      </c>
      <c r="H52" s="17">
        <f t="shared" si="0"/>
        <v>1353</v>
      </c>
      <c r="I52" s="17">
        <f t="shared" si="1"/>
        <v>1353</v>
      </c>
    </row>
    <row r="53" spans="2:9" x14ac:dyDescent="0.2">
      <c r="B53" s="15"/>
      <c r="C53" s="28"/>
      <c r="D53" s="30"/>
      <c r="E53" s="20"/>
      <c r="F53" s="21"/>
      <c r="G53" s="21"/>
      <c r="H53" s="17">
        <f t="shared" si="0"/>
        <v>0</v>
      </c>
      <c r="I53" s="17">
        <f t="shared" si="1"/>
        <v>0</v>
      </c>
    </row>
    <row r="54" spans="2:9" ht="31.5" customHeight="1" x14ac:dyDescent="0.2">
      <c r="B54" s="51" t="s">
        <v>42</v>
      </c>
      <c r="C54" s="32"/>
      <c r="D54" s="32"/>
      <c r="E54" s="32"/>
      <c r="F54" s="32"/>
      <c r="G54" s="33"/>
      <c r="H54" s="11">
        <f>SUM(H47:H53)</f>
        <v>19603</v>
      </c>
      <c r="I54" s="11">
        <f>SUM(I47:I53)</f>
        <v>17603</v>
      </c>
    </row>
    <row r="58" spans="2:9" ht="29.5" customHeight="1" x14ac:dyDescent="0.2">
      <c r="B58" s="41" t="s">
        <v>43</v>
      </c>
      <c r="C58" s="32"/>
      <c r="D58" s="32"/>
      <c r="E58" s="32"/>
      <c r="F58" s="32"/>
      <c r="G58" s="32"/>
      <c r="H58" s="32"/>
      <c r="I58" s="33"/>
    </row>
    <row r="59" spans="2:9" ht="30.25" customHeight="1" x14ac:dyDescent="0.2">
      <c r="B59" s="40" t="s">
        <v>44</v>
      </c>
      <c r="C59" s="32"/>
      <c r="D59" s="32"/>
      <c r="E59" s="32"/>
      <c r="F59" s="32"/>
      <c r="G59" s="32"/>
      <c r="H59" s="32"/>
      <c r="I59" s="33"/>
    </row>
    <row r="60" spans="2:9" s="19" customFormat="1" ht="46" customHeight="1" x14ac:dyDescent="0.2">
      <c r="B60" s="8" t="s">
        <v>45</v>
      </c>
      <c r="C60" s="47" t="s">
        <v>46</v>
      </c>
      <c r="D60" s="29"/>
      <c r="E60" s="30"/>
      <c r="F60" s="5" t="s">
        <v>34</v>
      </c>
      <c r="G60" s="5" t="s">
        <v>35</v>
      </c>
      <c r="H60" s="6" t="s">
        <v>12</v>
      </c>
      <c r="I60" s="6" t="s">
        <v>13</v>
      </c>
    </row>
    <row r="61" spans="2:9" x14ac:dyDescent="0.2">
      <c r="B61" s="13">
        <v>12000</v>
      </c>
      <c r="C61" s="28" t="s">
        <v>47</v>
      </c>
      <c r="D61" s="29"/>
      <c r="E61" s="30"/>
      <c r="F61" s="21">
        <v>3</v>
      </c>
      <c r="G61" s="21">
        <v>2</v>
      </c>
      <c r="H61" s="17">
        <f>B61*F61</f>
        <v>36000</v>
      </c>
      <c r="I61" s="17">
        <f>B61*G61</f>
        <v>24000</v>
      </c>
    </row>
    <row r="62" spans="2:9" x14ac:dyDescent="0.2">
      <c r="B62" s="13">
        <v>3000</v>
      </c>
      <c r="C62" s="28" t="s">
        <v>48</v>
      </c>
      <c r="D62" s="29"/>
      <c r="E62" s="30"/>
      <c r="F62" s="21">
        <v>1</v>
      </c>
      <c r="G62" s="21">
        <v>1</v>
      </c>
      <c r="H62" s="17">
        <f>B62*F62</f>
        <v>3000</v>
      </c>
      <c r="I62" s="17">
        <f>B62*G62</f>
        <v>3000</v>
      </c>
    </row>
    <row r="63" spans="2:9" x14ac:dyDescent="0.2">
      <c r="B63" s="13">
        <v>6000</v>
      </c>
      <c r="C63" s="28" t="s">
        <v>49</v>
      </c>
      <c r="D63" s="29"/>
      <c r="E63" s="30"/>
      <c r="F63" s="21">
        <v>0</v>
      </c>
      <c r="G63" s="21">
        <v>1</v>
      </c>
      <c r="H63" s="17">
        <f>B63*F63</f>
        <v>0</v>
      </c>
      <c r="I63" s="17">
        <f>B63*G63</f>
        <v>6000</v>
      </c>
    </row>
    <row r="64" spans="2:9" x14ac:dyDescent="0.2">
      <c r="B64" s="13"/>
      <c r="C64" s="28"/>
      <c r="D64" s="29"/>
      <c r="E64" s="30"/>
      <c r="F64" s="21"/>
      <c r="G64" s="21"/>
      <c r="H64" s="17">
        <f>B64*F64</f>
        <v>0</v>
      </c>
      <c r="I64" s="17">
        <f>B64*G64</f>
        <v>0</v>
      </c>
    </row>
    <row r="65" spans="1:28" x14ac:dyDescent="0.2">
      <c r="B65" s="13"/>
      <c r="C65" s="28"/>
      <c r="D65" s="29"/>
      <c r="E65" s="30"/>
      <c r="F65" s="21"/>
      <c r="G65" s="21"/>
      <c r="H65" s="17">
        <f>B65*F65</f>
        <v>0</v>
      </c>
      <c r="I65" s="17">
        <f>B65*G65</f>
        <v>0</v>
      </c>
    </row>
    <row r="66" spans="1:28" ht="29.5" customHeight="1" x14ac:dyDescent="0.2">
      <c r="B66" s="31" t="s">
        <v>50</v>
      </c>
      <c r="C66" s="32"/>
      <c r="D66" s="32"/>
      <c r="E66" s="32"/>
      <c r="F66" s="32"/>
      <c r="G66" s="33"/>
      <c r="H66" s="11">
        <f>SUM(H61:H65)</f>
        <v>39000</v>
      </c>
      <c r="I66" s="11">
        <f>SUM(I61:I65)</f>
        <v>33000</v>
      </c>
    </row>
    <row r="70" spans="1:28" ht="34.75" customHeight="1" x14ac:dyDescent="0.2">
      <c r="B70" s="41" t="s">
        <v>51</v>
      </c>
      <c r="C70" s="32"/>
      <c r="D70" s="32"/>
      <c r="E70" s="32"/>
      <c r="F70" s="32"/>
      <c r="G70" s="32"/>
      <c r="H70" s="32"/>
      <c r="I70" s="33"/>
    </row>
    <row r="71" spans="1:28" ht="50" customHeight="1" x14ac:dyDescent="0.2">
      <c r="B71" s="44" t="s">
        <v>52</v>
      </c>
      <c r="C71" s="38"/>
      <c r="D71" s="38"/>
      <c r="E71" s="38"/>
      <c r="F71" s="38"/>
      <c r="G71" s="38"/>
      <c r="H71" s="38"/>
      <c r="I71" s="39"/>
    </row>
    <row r="72" spans="1:28" s="22" customFormat="1" ht="30" customHeight="1" x14ac:dyDescent="0.2">
      <c r="A72" s="12"/>
      <c r="B72" s="9" t="s">
        <v>53</v>
      </c>
      <c r="C72" s="47" t="s">
        <v>54</v>
      </c>
      <c r="D72" s="29"/>
      <c r="E72" s="29"/>
      <c r="F72" s="29"/>
      <c r="G72" s="30"/>
      <c r="H72" s="6" t="s">
        <v>12</v>
      </c>
      <c r="I72" s="6" t="s">
        <v>13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80" x14ac:dyDescent="0.2">
      <c r="A73" t="s">
        <v>55</v>
      </c>
      <c r="B73" s="13" t="s">
        <v>56</v>
      </c>
      <c r="C73" s="28"/>
      <c r="D73" s="29"/>
      <c r="E73" s="29"/>
      <c r="F73" s="29"/>
      <c r="G73" s="30"/>
      <c r="H73" s="17">
        <v>17500</v>
      </c>
      <c r="I73" s="17">
        <v>17500</v>
      </c>
    </row>
    <row r="74" spans="1:28" x14ac:dyDescent="0.2">
      <c r="B74" s="13"/>
      <c r="C74" s="28"/>
      <c r="D74" s="29"/>
      <c r="E74" s="29"/>
      <c r="F74" s="29"/>
      <c r="G74" s="30"/>
      <c r="H74" s="17"/>
      <c r="I74" s="17"/>
    </row>
    <row r="75" spans="1:28" x14ac:dyDescent="0.2">
      <c r="B75" s="18"/>
      <c r="C75" s="28"/>
      <c r="D75" s="29"/>
      <c r="E75" s="29"/>
      <c r="F75" s="29"/>
      <c r="G75" s="30"/>
      <c r="H75" s="17"/>
      <c r="I75" s="17"/>
    </row>
    <row r="76" spans="1:28" x14ac:dyDescent="0.2">
      <c r="B76" s="15"/>
      <c r="C76" s="28"/>
      <c r="D76" s="29"/>
      <c r="E76" s="29"/>
      <c r="F76" s="29"/>
      <c r="G76" s="30"/>
      <c r="H76" s="17"/>
      <c r="I76" s="17"/>
    </row>
    <row r="77" spans="1:28" x14ac:dyDescent="0.2">
      <c r="B77" s="15"/>
      <c r="C77" s="28"/>
      <c r="D77" s="29"/>
      <c r="E77" s="29"/>
      <c r="F77" s="29"/>
      <c r="G77" s="30"/>
      <c r="H77" s="17"/>
      <c r="I77" s="17"/>
    </row>
    <row r="78" spans="1:28" ht="31.5" customHeight="1" x14ac:dyDescent="0.2">
      <c r="A78" s="10"/>
      <c r="B78" s="31" t="s">
        <v>57</v>
      </c>
      <c r="C78" s="32"/>
      <c r="D78" s="32"/>
      <c r="E78" s="32"/>
      <c r="F78" s="32"/>
      <c r="G78" s="33"/>
      <c r="H78" s="11">
        <f>SUM(H73:H77)</f>
        <v>17500</v>
      </c>
      <c r="I78" s="11">
        <f>SUM(I73:I77)</f>
        <v>17500</v>
      </c>
    </row>
    <row r="80" spans="1:28" ht="16" customHeight="1" x14ac:dyDescent="0.2">
      <c r="E80" s="41" t="s">
        <v>58</v>
      </c>
      <c r="F80" s="32"/>
      <c r="G80" s="33"/>
      <c r="H80" s="27">
        <f>H40+H54+H66+H78</f>
        <v>177478.75</v>
      </c>
      <c r="I80" s="27">
        <f>I40+I54+I66+I78</f>
        <v>172520.02249999999</v>
      </c>
    </row>
    <row r="81" spans="5:9" ht="16" customHeight="1" x14ac:dyDescent="0.2">
      <c r="E81" s="41" t="s">
        <v>59</v>
      </c>
      <c r="F81" s="32"/>
      <c r="G81" s="33"/>
      <c r="H81" s="50">
        <f>H80+I80</f>
        <v>349998.77249999996</v>
      </c>
      <c r="I81" s="33"/>
    </row>
    <row r="84" spans="5:9" x14ac:dyDescent="0.2">
      <c r="H84" s="23"/>
      <c r="I84" s="23"/>
    </row>
    <row r="85" spans="5:9" x14ac:dyDescent="0.2">
      <c r="H85" s="23"/>
      <c r="I85" s="23"/>
    </row>
    <row r="86" spans="5:9" x14ac:dyDescent="0.2">
      <c r="H86" s="23"/>
      <c r="I86" s="23"/>
    </row>
    <row r="87" spans="5:9" x14ac:dyDescent="0.2">
      <c r="H87" s="23"/>
      <c r="I87" s="23"/>
    </row>
    <row r="88" spans="5:9" x14ac:dyDescent="0.2">
      <c r="H88" s="23"/>
      <c r="I88" s="23"/>
    </row>
    <row r="89" spans="5:9" x14ac:dyDescent="0.2">
      <c r="H89" s="23"/>
      <c r="I89" s="23"/>
    </row>
    <row r="90" spans="5:9" x14ac:dyDescent="0.2">
      <c r="H90" s="23"/>
      <c r="I90" s="23"/>
    </row>
    <row r="91" spans="5:9" x14ac:dyDescent="0.2">
      <c r="H91" s="23"/>
      <c r="I91" s="23"/>
    </row>
    <row r="92" spans="5:9" x14ac:dyDescent="0.2">
      <c r="H92" s="23"/>
      <c r="I92" s="23"/>
    </row>
    <row r="93" spans="5:9" x14ac:dyDescent="0.2">
      <c r="H93" s="23"/>
      <c r="I93" s="23"/>
    </row>
    <row r="94" spans="5:9" x14ac:dyDescent="0.2">
      <c r="H94" s="23"/>
      <c r="I94" s="23"/>
    </row>
    <row r="95" spans="5:9" x14ac:dyDescent="0.2">
      <c r="H95" s="23"/>
      <c r="I95" s="23"/>
    </row>
    <row r="96" spans="5:9" x14ac:dyDescent="0.2">
      <c r="H96" s="23"/>
      <c r="I96" s="23"/>
    </row>
    <row r="97" spans="8:9" x14ac:dyDescent="0.2">
      <c r="H97" s="23"/>
      <c r="I97" s="23"/>
    </row>
    <row r="98" spans="8:9" x14ac:dyDescent="0.2">
      <c r="H98" s="23"/>
      <c r="I98" s="23"/>
    </row>
    <row r="99" spans="8:9" x14ac:dyDescent="0.2">
      <c r="H99" s="23"/>
      <c r="I99" s="23"/>
    </row>
    <row r="100" spans="8:9" x14ac:dyDescent="0.2">
      <c r="H100" s="23"/>
      <c r="I100" s="23"/>
    </row>
    <row r="101" spans="8:9" x14ac:dyDescent="0.2">
      <c r="H101" s="23"/>
      <c r="I101" s="23"/>
    </row>
    <row r="102" spans="8:9" x14ac:dyDescent="0.2">
      <c r="H102" s="23"/>
      <c r="I102" s="23"/>
    </row>
    <row r="103" spans="8:9" x14ac:dyDescent="0.2">
      <c r="H103" s="23"/>
      <c r="I103" s="23"/>
    </row>
    <row r="104" spans="8:9" x14ac:dyDescent="0.2">
      <c r="H104" s="23"/>
      <c r="I104" s="23"/>
    </row>
    <row r="105" spans="8:9" x14ac:dyDescent="0.2">
      <c r="H105" s="23"/>
      <c r="I105" s="23"/>
    </row>
    <row r="106" spans="8:9" x14ac:dyDescent="0.2">
      <c r="H106" s="23"/>
      <c r="I106" s="23"/>
    </row>
    <row r="107" spans="8:9" x14ac:dyDescent="0.2">
      <c r="H107" s="23"/>
      <c r="I107" s="23"/>
    </row>
    <row r="108" spans="8:9" x14ac:dyDescent="0.2">
      <c r="H108" s="23"/>
      <c r="I108" s="23"/>
    </row>
    <row r="109" spans="8:9" x14ac:dyDescent="0.2">
      <c r="H109" s="23"/>
      <c r="I109" s="23"/>
    </row>
    <row r="110" spans="8:9" x14ac:dyDescent="0.2">
      <c r="H110" s="23"/>
      <c r="I110" s="23"/>
    </row>
    <row r="111" spans="8:9" x14ac:dyDescent="0.2">
      <c r="H111" s="23"/>
      <c r="I111" s="23"/>
    </row>
    <row r="112" spans="8:9" x14ac:dyDescent="0.2">
      <c r="H112" s="23"/>
      <c r="I112" s="23"/>
    </row>
    <row r="113" spans="8:9" x14ac:dyDescent="0.2">
      <c r="H113" s="23"/>
      <c r="I113" s="23"/>
    </row>
    <row r="114" spans="8:9" x14ac:dyDescent="0.2">
      <c r="H114" s="23"/>
      <c r="I114" s="23"/>
    </row>
    <row r="115" spans="8:9" x14ac:dyDescent="0.2">
      <c r="H115" s="23"/>
      <c r="I115" s="23"/>
    </row>
    <row r="116" spans="8:9" x14ac:dyDescent="0.2">
      <c r="H116" s="23"/>
      <c r="I116" s="23"/>
    </row>
    <row r="117" spans="8:9" x14ac:dyDescent="0.2">
      <c r="H117" s="23"/>
      <c r="I117" s="23"/>
    </row>
    <row r="118" spans="8:9" x14ac:dyDescent="0.2">
      <c r="H118" s="23"/>
      <c r="I118" s="23"/>
    </row>
    <row r="119" spans="8:9" x14ac:dyDescent="0.2">
      <c r="H119" s="23"/>
      <c r="I119" s="23"/>
    </row>
    <row r="120" spans="8:9" x14ac:dyDescent="0.2">
      <c r="H120" s="23"/>
      <c r="I120" s="23"/>
    </row>
    <row r="121" spans="8:9" x14ac:dyDescent="0.2">
      <c r="H121" s="23"/>
      <c r="I121" s="23"/>
    </row>
    <row r="122" spans="8:9" x14ac:dyDescent="0.2">
      <c r="H122" s="23"/>
      <c r="I122" s="23"/>
    </row>
    <row r="123" spans="8:9" x14ac:dyDescent="0.2">
      <c r="H123" s="23"/>
      <c r="I123" s="23"/>
    </row>
    <row r="124" spans="8:9" x14ac:dyDescent="0.2">
      <c r="H124" s="23"/>
      <c r="I124" s="23"/>
    </row>
    <row r="125" spans="8:9" x14ac:dyDescent="0.2">
      <c r="H125" s="23"/>
      <c r="I125" s="23"/>
    </row>
    <row r="126" spans="8:9" x14ac:dyDescent="0.2">
      <c r="H126" s="23"/>
      <c r="I126" s="23"/>
    </row>
    <row r="127" spans="8:9" x14ac:dyDescent="0.2">
      <c r="H127" s="23"/>
      <c r="I127" s="23"/>
    </row>
    <row r="128" spans="8:9" x14ac:dyDescent="0.2">
      <c r="H128" s="23"/>
      <c r="I128" s="23"/>
    </row>
    <row r="129" spans="8:9" x14ac:dyDescent="0.2">
      <c r="H129" s="23"/>
      <c r="I129" s="23"/>
    </row>
    <row r="130" spans="8:9" x14ac:dyDescent="0.2">
      <c r="H130" s="23"/>
      <c r="I130" s="23"/>
    </row>
    <row r="131" spans="8:9" x14ac:dyDescent="0.2">
      <c r="H131" s="23"/>
      <c r="I131" s="23"/>
    </row>
    <row r="132" spans="8:9" x14ac:dyDescent="0.2">
      <c r="H132" s="23"/>
      <c r="I132" s="23"/>
    </row>
    <row r="133" spans="8:9" x14ac:dyDescent="0.2">
      <c r="H133" s="23"/>
      <c r="I133" s="23"/>
    </row>
  </sheetData>
  <mergeCells count="49">
    <mergeCell ref="B5:I5"/>
    <mergeCell ref="C64:E64"/>
    <mergeCell ref="B45:I45"/>
    <mergeCell ref="C53:D53"/>
    <mergeCell ref="B21:G21"/>
    <mergeCell ref="B35:I35"/>
    <mergeCell ref="C49:D49"/>
    <mergeCell ref="B1:C3"/>
    <mergeCell ref="E81:G81"/>
    <mergeCell ref="B13:I13"/>
    <mergeCell ref="B9:B10"/>
    <mergeCell ref="B44:I44"/>
    <mergeCell ref="C46:D46"/>
    <mergeCell ref="F9:F10"/>
    <mergeCell ref="C51:D51"/>
    <mergeCell ref="H81:I81"/>
    <mergeCell ref="C76:G76"/>
    <mergeCell ref="C52:D52"/>
    <mergeCell ref="C48:D48"/>
    <mergeCell ref="C62:E62"/>
    <mergeCell ref="B54:G54"/>
    <mergeCell ref="B30:I30"/>
    <mergeCell ref="B66:G66"/>
    <mergeCell ref="E80:G80"/>
    <mergeCell ref="C47:D47"/>
    <mergeCell ref="C61:E61"/>
    <mergeCell ref="C50:D50"/>
    <mergeCell ref="B40:G40"/>
    <mergeCell ref="C75:G75"/>
    <mergeCell ref="C63:E63"/>
    <mergeCell ref="C72:G72"/>
    <mergeCell ref="C65:E65"/>
    <mergeCell ref="B6:I7"/>
    <mergeCell ref="C74:G74"/>
    <mergeCell ref="B71:I71"/>
    <mergeCell ref="B78:G78"/>
    <mergeCell ref="B29:G29"/>
    <mergeCell ref="B58:I58"/>
    <mergeCell ref="C9:C10"/>
    <mergeCell ref="C73:G73"/>
    <mergeCell ref="B34:G34"/>
    <mergeCell ref="C60:E60"/>
    <mergeCell ref="B70:I70"/>
    <mergeCell ref="B14:I14"/>
    <mergeCell ref="C77:G77"/>
    <mergeCell ref="B39:G39"/>
    <mergeCell ref="G9:I10"/>
    <mergeCell ref="B59:I59"/>
    <mergeCell ref="B22:I22"/>
  </mergeCells>
  <pageMargins left="0.25" right="0.25" top="0.5" bottom="0.75" header="0.3" footer="0.3"/>
  <pageSetup scale="63" fitToHeight="3" pageOrder="overThenDown" orientation="portrait"/>
  <headerFooter>
    <oddHeader>&amp;L                                                                                                                                                                       &amp;RExhibit C Budget</oddHeader>
    <oddFooter>&amp;CPage &amp;P of &amp;N
V1 July 2020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LSRI HIIA Budget</vt:lpstr>
      <vt:lpstr>'LSRI HIIA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Feyerherm</dc:creator>
  <cp:lastModifiedBy>selcuk.kubuk</cp:lastModifiedBy>
  <dcterms:created xsi:type="dcterms:W3CDTF">2012-03-29T18:30:04Z</dcterms:created>
  <dcterms:modified xsi:type="dcterms:W3CDTF">2026-07-14T15:02:08Z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0x01010082A592B95EF0DD47A3F45AE4A9EEAD28</vt:lpwstr>
  </property>
  <property fmtid="{D5CDD505-2E9C-101B-9397-08002B2CF9AE}" pid="3" name="Order">
    <vt:r8>82100</vt:r8>
  </property>
</Properties>
</file>